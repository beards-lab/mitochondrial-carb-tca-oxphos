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/Documents/MATLAB/Mito Codes 8-3-23 opt/"/>
    </mc:Choice>
  </mc:AlternateContent>
  <xr:revisionPtr revIDLastSave="0" documentId="13_ncr:1_{CEC8E38B-396A-9A4D-B17D-D915C464FB23}" xr6:coauthVersionLast="47" xr6:coauthVersionMax="47" xr10:uidLastSave="{00000000-0000-0000-0000-000000000000}"/>
  <bookViews>
    <workbookView xWindow="0" yWindow="760" windowWidth="30240" windowHeight="18880" activeTab="1" xr2:uid="{7B352B6C-D994-644C-9A80-4C95FC79360A}"/>
  </bookViews>
  <sheets>
    <sheet name="Anoxia_Reoxy" sheetId="1" r:id="rId1"/>
    <sheet name="H_P+M" sheetId="2" r:id="rId2"/>
    <sheet name="L_P+M" sheetId="3" r:id="rId3"/>
    <sheet name="H_A+M" sheetId="4" r:id="rId4"/>
    <sheet name="L_A+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" l="1"/>
  <c r="I32" i="3" s="1"/>
  <c r="D25" i="3"/>
  <c r="I35" i="3"/>
  <c r="H35" i="3"/>
  <c r="G35" i="3"/>
  <c r="F35" i="3"/>
  <c r="E35" i="3"/>
  <c r="D35" i="3"/>
  <c r="C35" i="3"/>
  <c r="B35" i="3"/>
  <c r="F33" i="3"/>
  <c r="F32" i="3"/>
  <c r="F30" i="3"/>
  <c r="I27" i="3"/>
  <c r="I34" i="3" s="1"/>
  <c r="H27" i="3"/>
  <c r="H34" i="3" s="1"/>
  <c r="G27" i="3"/>
  <c r="G34" i="3" s="1"/>
  <c r="F27" i="3"/>
  <c r="F34" i="3" s="1"/>
  <c r="E27" i="3"/>
  <c r="E34" i="3" s="1"/>
  <c r="D27" i="3"/>
  <c r="D34" i="3" s="1"/>
  <c r="C27" i="3"/>
  <c r="C34" i="3" s="1"/>
  <c r="B27" i="3"/>
  <c r="B34" i="3" s="1"/>
  <c r="I26" i="3"/>
  <c r="I33" i="3" s="1"/>
  <c r="H26" i="3"/>
  <c r="H33" i="3" s="1"/>
  <c r="G26" i="3"/>
  <c r="G33" i="3" s="1"/>
  <c r="F26" i="3"/>
  <c r="E26" i="3"/>
  <c r="E33" i="3" s="1"/>
  <c r="D26" i="3"/>
  <c r="D33" i="3" s="1"/>
  <c r="C26" i="3"/>
  <c r="C33" i="3" s="1"/>
  <c r="B26" i="3"/>
  <c r="B33" i="3" s="1"/>
  <c r="H25" i="3"/>
  <c r="H32" i="3" s="1"/>
  <c r="G25" i="3"/>
  <c r="G32" i="3" s="1"/>
  <c r="F25" i="3"/>
  <c r="E25" i="3"/>
  <c r="E32" i="3" s="1"/>
  <c r="D32" i="3"/>
  <c r="C25" i="3"/>
  <c r="C32" i="3" s="1"/>
  <c r="B25" i="3"/>
  <c r="B32" i="3" s="1"/>
  <c r="I24" i="3"/>
  <c r="I31" i="3" s="1"/>
  <c r="H24" i="3"/>
  <c r="H31" i="3" s="1"/>
  <c r="G24" i="3"/>
  <c r="G31" i="3" s="1"/>
  <c r="F24" i="3"/>
  <c r="F31" i="3" s="1"/>
  <c r="E24" i="3"/>
  <c r="E31" i="3" s="1"/>
  <c r="D24" i="3"/>
  <c r="D31" i="3" s="1"/>
  <c r="C24" i="3"/>
  <c r="C31" i="3" s="1"/>
  <c r="B24" i="3"/>
  <c r="B31" i="3" s="1"/>
  <c r="I23" i="3"/>
  <c r="I30" i="3" s="1"/>
  <c r="H23" i="3"/>
  <c r="H30" i="3" s="1"/>
  <c r="G23" i="3"/>
  <c r="G30" i="3" s="1"/>
  <c r="F23" i="3"/>
  <c r="E23" i="3"/>
  <c r="E30" i="3" s="1"/>
  <c r="D23" i="3"/>
  <c r="D30" i="3" s="1"/>
  <c r="C23" i="3"/>
  <c r="C30" i="3" s="1"/>
  <c r="B23" i="3"/>
  <c r="B30" i="3" s="1"/>
  <c r="I21" i="3"/>
  <c r="H21" i="3"/>
  <c r="G21" i="3"/>
  <c r="F21" i="3"/>
  <c r="E21" i="3"/>
  <c r="D21" i="3"/>
  <c r="C21" i="3"/>
  <c r="B21" i="3"/>
  <c r="I20" i="3"/>
  <c r="H20" i="3"/>
  <c r="G20" i="3"/>
  <c r="F20" i="3"/>
  <c r="E20" i="3"/>
  <c r="D20" i="3"/>
  <c r="C20" i="3"/>
  <c r="B20" i="3"/>
  <c r="I19" i="3"/>
  <c r="H19" i="3"/>
  <c r="G19" i="3"/>
  <c r="F19" i="3"/>
  <c r="E19" i="3"/>
  <c r="D19" i="3"/>
  <c r="C19" i="3"/>
  <c r="B19" i="3"/>
  <c r="I18" i="3"/>
  <c r="H18" i="3"/>
  <c r="G18" i="3"/>
  <c r="F18" i="3"/>
  <c r="E18" i="3"/>
  <c r="D18" i="3"/>
  <c r="C18" i="3"/>
  <c r="B18" i="3"/>
  <c r="I17" i="3"/>
  <c r="H17" i="3"/>
  <c r="G17" i="3"/>
  <c r="F17" i="3"/>
  <c r="E17" i="3"/>
  <c r="D17" i="3"/>
  <c r="C17" i="3"/>
  <c r="B17" i="3"/>
  <c r="I16" i="3"/>
  <c r="H16" i="3"/>
  <c r="G16" i="3"/>
  <c r="F16" i="3"/>
  <c r="E16" i="3"/>
  <c r="D16" i="3"/>
  <c r="C16" i="3"/>
  <c r="B16" i="3"/>
  <c r="C30" i="2"/>
  <c r="D30" i="2"/>
  <c r="E30" i="2"/>
  <c r="F30" i="2"/>
  <c r="G30" i="2"/>
  <c r="H30" i="2"/>
  <c r="I30" i="2"/>
  <c r="C31" i="2"/>
  <c r="D31" i="2"/>
  <c r="E31" i="2"/>
  <c r="F31" i="2"/>
  <c r="G31" i="2"/>
  <c r="H31" i="2"/>
  <c r="I31" i="2"/>
  <c r="C32" i="2"/>
  <c r="D32" i="2"/>
  <c r="E32" i="2"/>
  <c r="F32" i="2"/>
  <c r="G32" i="2"/>
  <c r="H32" i="2"/>
  <c r="I32" i="2"/>
  <c r="C33" i="2"/>
  <c r="D33" i="2"/>
  <c r="E33" i="2"/>
  <c r="F33" i="2"/>
  <c r="G33" i="2"/>
  <c r="H33" i="2"/>
  <c r="I33" i="2"/>
  <c r="C34" i="2"/>
  <c r="D34" i="2"/>
  <c r="E34" i="2"/>
  <c r="F34" i="2"/>
  <c r="G34" i="2"/>
  <c r="H34" i="2"/>
  <c r="I34" i="2"/>
  <c r="C35" i="2"/>
  <c r="D35" i="2"/>
  <c r="E35" i="2"/>
  <c r="F35" i="2"/>
  <c r="G35" i="2"/>
  <c r="H35" i="2"/>
  <c r="I35" i="2"/>
  <c r="B31" i="2"/>
  <c r="B32" i="2"/>
  <c r="B33" i="2"/>
  <c r="B34" i="2"/>
  <c r="B35" i="2"/>
  <c r="B30" i="2"/>
  <c r="G25" i="2"/>
  <c r="I27" i="2"/>
  <c r="C23" i="2"/>
  <c r="D23" i="2"/>
  <c r="E23" i="2"/>
  <c r="F23" i="2"/>
  <c r="G23" i="2"/>
  <c r="H23" i="2"/>
  <c r="I23" i="2"/>
  <c r="C24" i="2"/>
  <c r="D24" i="2"/>
  <c r="E24" i="2"/>
  <c r="F24" i="2"/>
  <c r="G24" i="2"/>
  <c r="H24" i="2"/>
  <c r="I24" i="2"/>
  <c r="C25" i="2"/>
  <c r="D25" i="2"/>
  <c r="E25" i="2"/>
  <c r="F25" i="2"/>
  <c r="H25" i="2"/>
  <c r="I25" i="2"/>
  <c r="C26" i="2"/>
  <c r="D26" i="2"/>
  <c r="E26" i="2"/>
  <c r="F26" i="2"/>
  <c r="G26" i="2"/>
  <c r="H26" i="2"/>
  <c r="I26" i="2"/>
  <c r="C27" i="2"/>
  <c r="D27" i="2"/>
  <c r="E27" i="2"/>
  <c r="F27" i="2"/>
  <c r="G27" i="2"/>
  <c r="H27" i="2"/>
  <c r="B24" i="2"/>
  <c r="B25" i="2"/>
  <c r="B26" i="2"/>
  <c r="B27" i="2"/>
  <c r="B23" i="2"/>
  <c r="F16" i="2"/>
  <c r="G16" i="2"/>
  <c r="H16" i="2"/>
  <c r="I16" i="2"/>
  <c r="C16" i="2"/>
  <c r="D16" i="2"/>
  <c r="E16" i="2"/>
  <c r="C17" i="2"/>
  <c r="D17" i="2"/>
  <c r="E17" i="2"/>
  <c r="F17" i="2"/>
  <c r="G17" i="2"/>
  <c r="H17" i="2"/>
  <c r="I17" i="2"/>
  <c r="C18" i="2"/>
  <c r="D18" i="2"/>
  <c r="E18" i="2"/>
  <c r="F18" i="2"/>
  <c r="G18" i="2"/>
  <c r="H18" i="2"/>
  <c r="I18" i="2"/>
  <c r="C19" i="2"/>
  <c r="D19" i="2"/>
  <c r="E19" i="2"/>
  <c r="F19" i="2"/>
  <c r="G19" i="2"/>
  <c r="H19" i="2"/>
  <c r="I19" i="2"/>
  <c r="C20" i="2"/>
  <c r="D20" i="2"/>
  <c r="E20" i="2"/>
  <c r="F20" i="2"/>
  <c r="G20" i="2"/>
  <c r="H20" i="2"/>
  <c r="I20" i="2"/>
  <c r="C21" i="2"/>
  <c r="D21" i="2"/>
  <c r="E21" i="2"/>
  <c r="F21" i="2"/>
  <c r="G21" i="2"/>
  <c r="H21" i="2"/>
  <c r="I21" i="2"/>
  <c r="B21" i="2"/>
  <c r="B17" i="2"/>
  <c r="B18" i="2"/>
  <c r="B19" i="2"/>
  <c r="B20" i="2"/>
  <c r="B16" i="2"/>
</calcChain>
</file>

<file path=xl/sharedStrings.xml><?xml version="1.0" encoding="utf-8"?>
<sst xmlns="http://schemas.openxmlformats.org/spreadsheetml/2006/main" count="53" uniqueCount="13">
  <si>
    <t>Time (min)</t>
  </si>
  <si>
    <t>Pyr</t>
  </si>
  <si>
    <t>Mal</t>
  </si>
  <si>
    <t>Succ</t>
  </si>
  <si>
    <t>AKG</t>
  </si>
  <si>
    <t>OAA</t>
  </si>
  <si>
    <t>AMP</t>
  </si>
  <si>
    <t>ADP</t>
  </si>
  <si>
    <t>ATP</t>
  </si>
  <si>
    <t>Time (sec)</t>
  </si>
  <si>
    <t>SEM</t>
  </si>
  <si>
    <t>STDEV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</si>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</sst>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TimesNewRomanPSMT"/>
      <family val="2"/>
    </font>
    <font>
      <sz val="12"/>
      <color theme="1"/>
      <name val="TimesNewRomanPSMT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51FA-CE43-694F-B004-AE8AA1A1C299}">
  <dimension ref="A1:I57"/>
  <sheetViews>
    <sheetView zoomScaleNormal="100" workbookViewId="0">
      <selection activeCell="F30" sqref="F30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</row>
    <row r="3" spans="1:9">
      <c r="A3">
        <v>-2.5</v>
      </c>
      <c r="B3">
        <v>924.29239302993187</v>
      </c>
      <c r="C3">
        <v>446.57693353065537</v>
      </c>
      <c r="D3">
        <v>15.204388065300673</v>
      </c>
      <c r="E3">
        <v>0.80732425267867047</v>
      </c>
      <c r="F3">
        <v>17.515752822224275</v>
      </c>
      <c r="G3">
        <v>51.598174720437548</v>
      </c>
      <c r="H3">
        <v>1912.2631530597855</v>
      </c>
      <c r="I3">
        <v>131.32111939468118</v>
      </c>
    </row>
    <row r="4" spans="1:9">
      <c r="A4">
        <v>-2</v>
      </c>
      <c r="B4">
        <v>897.17302072683049</v>
      </c>
      <c r="C4">
        <v>417.52179831381278</v>
      </c>
      <c r="D4">
        <v>33.056440031949066</v>
      </c>
      <c r="E4">
        <v>0.62720795892696801</v>
      </c>
      <c r="F4">
        <v>16.5821286932735</v>
      </c>
      <c r="G4">
        <v>76.74410338661032</v>
      </c>
      <c r="H4">
        <v>1694.8422642270812</v>
      </c>
      <c r="I4">
        <v>303.01616193961735</v>
      </c>
    </row>
    <row r="5" spans="1:9">
      <c r="A5">
        <v>-1</v>
      </c>
      <c r="B5">
        <v>850.5028538501731</v>
      </c>
      <c r="C5">
        <v>373.52211279708325</v>
      </c>
      <c r="D5">
        <v>79.386515491623541</v>
      </c>
      <c r="E5">
        <v>0.56639862334112334</v>
      </c>
      <c r="F5">
        <v>16.028223268662455</v>
      </c>
      <c r="G5">
        <v>123.25071145025392</v>
      </c>
      <c r="H5">
        <v>1152.5846014281881</v>
      </c>
      <c r="I5">
        <v>767.04860613937478</v>
      </c>
    </row>
    <row r="6" spans="1:9">
      <c r="A6">
        <v>-0.5</v>
      </c>
      <c r="B6">
        <v>803.27508450800826</v>
      </c>
      <c r="C6">
        <v>335.17614410017296</v>
      </c>
      <c r="D6">
        <v>99.794701542293367</v>
      </c>
      <c r="E6">
        <v>0.58098202689488654</v>
      </c>
      <c r="F6">
        <v>13.792682585930962</v>
      </c>
      <c r="G6">
        <v>138.64045951273783</v>
      </c>
      <c r="H6">
        <v>906.44792643246933</v>
      </c>
      <c r="I6">
        <v>980.3480437606496</v>
      </c>
    </row>
    <row r="7" spans="1:9">
      <c r="A7">
        <v>0</v>
      </c>
      <c r="B7">
        <v>805.40329223068215</v>
      </c>
      <c r="C7">
        <v>325.35674853793415</v>
      </c>
      <c r="F7">
        <v>18.023495326129989</v>
      </c>
      <c r="G7">
        <v>150.74029895140151</v>
      </c>
      <c r="H7">
        <v>810.17271842943728</v>
      </c>
      <c r="I7">
        <v>1099.4423295754955</v>
      </c>
    </row>
    <row r="8" spans="1:9">
      <c r="A8">
        <v>2</v>
      </c>
      <c r="B8">
        <v>813.30151378553842</v>
      </c>
      <c r="C8">
        <v>311.23954316341883</v>
      </c>
      <c r="F8">
        <v>26.042586716424616</v>
      </c>
      <c r="G8">
        <v>207.890002407244</v>
      </c>
      <c r="H8">
        <v>846.57426219070942</v>
      </c>
      <c r="I8">
        <v>1162.3742202824342</v>
      </c>
    </row>
    <row r="9" spans="1:9">
      <c r="A9">
        <v>4</v>
      </c>
      <c r="B9">
        <v>819.01588979257554</v>
      </c>
      <c r="C9">
        <v>304.88721638090544</v>
      </c>
      <c r="F9">
        <v>33.719677898225484</v>
      </c>
      <c r="G9">
        <v>244.65998276242902</v>
      </c>
      <c r="H9">
        <v>797.13056357250343</v>
      </c>
      <c r="I9">
        <v>1146.1008255513466</v>
      </c>
    </row>
    <row r="10" spans="1:9">
      <c r="A10">
        <v>6</v>
      </c>
      <c r="B10">
        <v>807.27892126014774</v>
      </c>
      <c r="C10">
        <v>289.77618421536613</v>
      </c>
      <c r="F10">
        <v>40.228918979920103</v>
      </c>
      <c r="G10">
        <v>284.42606499954388</v>
      </c>
      <c r="H10">
        <v>794.1646965565061</v>
      </c>
      <c r="I10">
        <v>1090.6673986045375</v>
      </c>
    </row>
    <row r="11" spans="1:9">
      <c r="A11">
        <v>10</v>
      </c>
      <c r="B11">
        <v>796.36685350998118</v>
      </c>
      <c r="C11">
        <v>266.356080837918</v>
      </c>
      <c r="F11">
        <v>53.293454181218436</v>
      </c>
      <c r="G11">
        <v>338.07224434307517</v>
      </c>
      <c r="H11">
        <v>779.36563880465269</v>
      </c>
      <c r="I11">
        <v>993.76387830561407</v>
      </c>
    </row>
    <row r="12" spans="1:9">
      <c r="A12">
        <v>15</v>
      </c>
      <c r="B12">
        <v>797.71971617784448</v>
      </c>
      <c r="C12">
        <v>249.41312596650639</v>
      </c>
      <c r="F12">
        <v>68.312336118253597</v>
      </c>
      <c r="G12">
        <v>435.48895577325715</v>
      </c>
      <c r="H12">
        <v>800.18766840910894</v>
      </c>
      <c r="I12">
        <v>937.45596853934046</v>
      </c>
    </row>
    <row r="13" spans="1:9">
      <c r="A13">
        <v>15.25</v>
      </c>
      <c r="B13">
        <v>694.08408032664659</v>
      </c>
      <c r="C13">
        <v>224.23253013463037</v>
      </c>
      <c r="F13">
        <v>55.156524802719957</v>
      </c>
      <c r="G13">
        <v>357.20524756056545</v>
      </c>
      <c r="H13">
        <v>635.2962780921996</v>
      </c>
      <c r="I13">
        <v>909.99862737163448</v>
      </c>
    </row>
    <row r="14" spans="1:9">
      <c r="A14">
        <v>15.5</v>
      </c>
      <c r="B14">
        <v>738.70272336069615</v>
      </c>
      <c r="C14">
        <v>234.09903779043236</v>
      </c>
      <c r="F14">
        <v>56.222119245755415</v>
      </c>
      <c r="G14">
        <v>387.86743599128653</v>
      </c>
      <c r="H14">
        <v>574.85296648404483</v>
      </c>
      <c r="I14">
        <v>1097.4615479455665</v>
      </c>
    </row>
    <row r="15" spans="1:9">
      <c r="A15">
        <v>15.75</v>
      </c>
      <c r="B15">
        <v>701.29537361190148</v>
      </c>
      <c r="C15">
        <v>223.20950819416123</v>
      </c>
      <c r="F15">
        <v>57.009919649857991</v>
      </c>
      <c r="G15">
        <v>399.05339537609956</v>
      </c>
      <c r="H15">
        <v>490.73367182770011</v>
      </c>
      <c r="I15">
        <v>1295.0528546701676</v>
      </c>
    </row>
    <row r="16" spans="1:9">
      <c r="A16">
        <v>16</v>
      </c>
      <c r="B16">
        <v>720.02368416281422</v>
      </c>
      <c r="C16">
        <v>216.43537645296342</v>
      </c>
      <c r="F16">
        <v>58.626540594645611</v>
      </c>
      <c r="G16">
        <v>382.59699685722654</v>
      </c>
      <c r="H16">
        <v>405.86021742698915</v>
      </c>
      <c r="I16">
        <v>1305.5702874776309</v>
      </c>
    </row>
    <row r="17" spans="1:9">
      <c r="A17">
        <v>17</v>
      </c>
      <c r="B17">
        <v>685.83761997108468</v>
      </c>
      <c r="C17">
        <v>192.57760369808949</v>
      </c>
      <c r="F17">
        <v>58.062458092073321</v>
      </c>
      <c r="G17">
        <v>372.34978651674851</v>
      </c>
      <c r="H17">
        <v>130.20265726708371</v>
      </c>
      <c r="I17">
        <v>1616.6085088195734</v>
      </c>
    </row>
    <row r="18" spans="1:9">
      <c r="A18">
        <v>20</v>
      </c>
      <c r="B18">
        <v>601.92263528381966</v>
      </c>
      <c r="C18">
        <v>153.44754486153607</v>
      </c>
      <c r="F18">
        <v>49.508994182152549</v>
      </c>
      <c r="G18">
        <v>156.26044322822159</v>
      </c>
      <c r="H18">
        <v>49.728124439196719</v>
      </c>
      <c r="I18">
        <v>1945.2715832615258</v>
      </c>
    </row>
    <row r="19" spans="1:9">
      <c r="A19">
        <v>25</v>
      </c>
      <c r="B19">
        <v>429.24704748078477</v>
      </c>
      <c r="C19">
        <v>129.95889356867087</v>
      </c>
      <c r="F19">
        <v>35.310198747517653</v>
      </c>
      <c r="G19">
        <v>7.5554266826397596</v>
      </c>
      <c r="H19">
        <v>17.732474481411437</v>
      </c>
      <c r="I19">
        <v>1801.9475365260241</v>
      </c>
    </row>
    <row r="21" spans="1:9">
      <c r="A21" t="s">
        <v>11</v>
      </c>
    </row>
    <row r="22" spans="1:9">
      <c r="A22">
        <v>-2.5</v>
      </c>
      <c r="B22">
        <v>0</v>
      </c>
      <c r="C22">
        <v>0</v>
      </c>
      <c r="F22">
        <v>0</v>
      </c>
      <c r="H22">
        <v>0</v>
      </c>
      <c r="I22">
        <v>0</v>
      </c>
    </row>
    <row r="23" spans="1:9">
      <c r="A23">
        <v>-2</v>
      </c>
      <c r="B23">
        <v>0</v>
      </c>
      <c r="C23">
        <v>0</v>
      </c>
      <c r="F23">
        <v>0</v>
      </c>
      <c r="H23">
        <v>0</v>
      </c>
      <c r="I23">
        <v>0</v>
      </c>
    </row>
    <row r="24" spans="1:9">
      <c r="A24">
        <v>-1</v>
      </c>
      <c r="B24">
        <v>0</v>
      </c>
      <c r="C24">
        <v>0</v>
      </c>
      <c r="F24">
        <v>0</v>
      </c>
      <c r="H24">
        <v>0</v>
      </c>
      <c r="I24">
        <v>0</v>
      </c>
    </row>
    <row r="25" spans="1:9">
      <c r="A25">
        <v>-0.5</v>
      </c>
      <c r="B25">
        <v>0</v>
      </c>
      <c r="C25">
        <v>0</v>
      </c>
      <c r="F25">
        <v>0</v>
      </c>
      <c r="H25">
        <v>0</v>
      </c>
      <c r="I25">
        <v>0</v>
      </c>
    </row>
    <row r="26" spans="1:9">
      <c r="A26">
        <v>0</v>
      </c>
      <c r="B26">
        <v>20.549351704290284</v>
      </c>
      <c r="C26">
        <v>10.051703305786392</v>
      </c>
      <c r="F26">
        <v>3.029097219769568</v>
      </c>
      <c r="H26">
        <v>25.356439422603366</v>
      </c>
      <c r="I26">
        <v>69.43182703884284</v>
      </c>
    </row>
    <row r="27" spans="1:9">
      <c r="A27">
        <v>2</v>
      </c>
      <c r="B27">
        <v>12.456370739728706</v>
      </c>
      <c r="C27">
        <v>9.8695510319580002</v>
      </c>
      <c r="F27">
        <v>0.84453903465930191</v>
      </c>
      <c r="H27">
        <v>24.198274803197179</v>
      </c>
      <c r="I27">
        <v>111.93656016479322</v>
      </c>
    </row>
    <row r="28" spans="1:9">
      <c r="A28">
        <v>4</v>
      </c>
      <c r="B28">
        <v>7.7152804410882743</v>
      </c>
      <c r="C28">
        <v>2.5218746734855939</v>
      </c>
      <c r="F28">
        <v>0.8989678816539548</v>
      </c>
      <c r="H28">
        <v>2.0095408216998116E-2</v>
      </c>
      <c r="I28">
        <v>1.1534454748713474</v>
      </c>
    </row>
    <row r="29" spans="1:9">
      <c r="A29">
        <v>6</v>
      </c>
      <c r="B29">
        <v>33.63299304373853</v>
      </c>
      <c r="C29">
        <v>7.2042945774420932</v>
      </c>
      <c r="F29">
        <v>1.487928493700007</v>
      </c>
      <c r="H29">
        <v>7.4888830893347365</v>
      </c>
      <c r="I29">
        <v>14.348876512992794</v>
      </c>
    </row>
    <row r="30" spans="1:9">
      <c r="A30">
        <v>10</v>
      </c>
      <c r="B30">
        <v>25.671056466317332</v>
      </c>
      <c r="C30">
        <v>9.6158712809990217</v>
      </c>
      <c r="F30">
        <v>1.2963867802868363</v>
      </c>
      <c r="H30">
        <v>10.317400261922486</v>
      </c>
      <c r="I30">
        <v>19.364921383941297</v>
      </c>
    </row>
    <row r="31" spans="1:9">
      <c r="A31">
        <v>15</v>
      </c>
      <c r="B31">
        <v>5.9218889774050796</v>
      </c>
      <c r="C31">
        <v>2.3018213045207561</v>
      </c>
      <c r="F31">
        <v>0.40536340304156587</v>
      </c>
      <c r="H31">
        <v>49.791967537728134</v>
      </c>
      <c r="I31">
        <v>10.873439387308869</v>
      </c>
    </row>
    <row r="32" spans="1:9">
      <c r="A32">
        <v>15.25</v>
      </c>
      <c r="B32">
        <v>0</v>
      </c>
      <c r="C32">
        <v>0</v>
      </c>
      <c r="F32">
        <v>0</v>
      </c>
      <c r="H32">
        <v>0</v>
      </c>
      <c r="I32">
        <v>0</v>
      </c>
    </row>
    <row r="33" spans="1:9">
      <c r="A33">
        <v>15.5</v>
      </c>
      <c r="B33">
        <v>73.993165014775272</v>
      </c>
      <c r="C33">
        <v>17.031784777217165</v>
      </c>
      <c r="F33">
        <v>2.6971316195829065</v>
      </c>
      <c r="H33">
        <v>11.89143566801741</v>
      </c>
      <c r="I33">
        <v>5.6743728355999545</v>
      </c>
    </row>
    <row r="34" spans="1:9">
      <c r="A34">
        <v>15.75</v>
      </c>
      <c r="B34">
        <v>0</v>
      </c>
      <c r="C34">
        <v>0</v>
      </c>
      <c r="F34">
        <v>0</v>
      </c>
      <c r="H34">
        <v>0</v>
      </c>
      <c r="I34">
        <v>0</v>
      </c>
    </row>
    <row r="35" spans="1:9">
      <c r="A35">
        <v>16</v>
      </c>
      <c r="B35">
        <v>57.251216034766685</v>
      </c>
      <c r="C35">
        <v>2.9681497293919854</v>
      </c>
      <c r="F35">
        <v>8.2747525132240085</v>
      </c>
      <c r="H35">
        <v>3.6932773029448245</v>
      </c>
      <c r="I35">
        <v>35.044114646708422</v>
      </c>
    </row>
    <row r="36" spans="1:9">
      <c r="A36">
        <v>17</v>
      </c>
      <c r="B36">
        <v>74.401193015773273</v>
      </c>
      <c r="C36">
        <v>8.9726394413815225</v>
      </c>
      <c r="F36">
        <v>7.68966490538764</v>
      </c>
      <c r="H36">
        <v>6.2493507205542285</v>
      </c>
      <c r="I36">
        <v>1.9789131723563642</v>
      </c>
    </row>
    <row r="37" spans="1:9">
      <c r="A37">
        <v>20</v>
      </c>
      <c r="B37">
        <v>66.750271887438018</v>
      </c>
      <c r="C37">
        <v>8.1603032732814</v>
      </c>
      <c r="F37">
        <v>4.1502262651847763</v>
      </c>
      <c r="H37">
        <v>13.713300537029031</v>
      </c>
      <c r="I37">
        <v>62.920392277626974</v>
      </c>
    </row>
    <row r="38" spans="1:9">
      <c r="A38">
        <v>25</v>
      </c>
      <c r="B38">
        <v>0</v>
      </c>
      <c r="C38">
        <v>0</v>
      </c>
      <c r="F38">
        <v>0</v>
      </c>
      <c r="H38">
        <v>0</v>
      </c>
      <c r="I38">
        <v>0</v>
      </c>
    </row>
    <row r="40" spans="1:9">
      <c r="A40" t="s">
        <v>10</v>
      </c>
    </row>
    <row r="41" spans="1:9">
      <c r="A41">
        <v>-2.5</v>
      </c>
      <c r="B41">
        <v>0</v>
      </c>
      <c r="C41">
        <v>0</v>
      </c>
      <c r="F41">
        <v>0</v>
      </c>
      <c r="H41">
        <v>0</v>
      </c>
      <c r="I41">
        <v>0</v>
      </c>
    </row>
    <row r="42" spans="1:9">
      <c r="A42">
        <v>-2</v>
      </c>
      <c r="B42">
        <v>0</v>
      </c>
      <c r="C42">
        <v>0</v>
      </c>
      <c r="F42">
        <v>0</v>
      </c>
      <c r="H42">
        <v>0</v>
      </c>
      <c r="I42">
        <v>0</v>
      </c>
    </row>
    <row r="43" spans="1:9">
      <c r="A43">
        <v>-1</v>
      </c>
      <c r="B43">
        <v>0</v>
      </c>
      <c r="C43">
        <v>0</v>
      </c>
      <c r="F43">
        <v>0</v>
      </c>
      <c r="H43">
        <v>0</v>
      </c>
      <c r="I43">
        <v>0</v>
      </c>
    </row>
    <row r="44" spans="1:9">
      <c r="A44">
        <v>-0.5</v>
      </c>
      <c r="B44">
        <v>0</v>
      </c>
      <c r="C44">
        <v>0</v>
      </c>
      <c r="F44">
        <v>0</v>
      </c>
      <c r="H44">
        <v>0</v>
      </c>
      <c r="I44">
        <v>0</v>
      </c>
    </row>
    <row r="45" spans="1:9">
      <c r="A45">
        <v>0</v>
      </c>
      <c r="B45">
        <v>14.530585939090997</v>
      </c>
      <c r="C45">
        <v>7.1076275699967937</v>
      </c>
      <c r="F45">
        <v>2.1418951849723791</v>
      </c>
      <c r="H45">
        <v>17.929710262468745</v>
      </c>
      <c r="I45">
        <v>49.095715729337257</v>
      </c>
    </row>
    <row r="46" spans="1:9">
      <c r="A46">
        <v>2</v>
      </c>
      <c r="B46">
        <v>8.807984219035859</v>
      </c>
      <c r="C46">
        <v>6.9788264619641893</v>
      </c>
      <c r="F46">
        <v>0.59717927838433305</v>
      </c>
      <c r="H46">
        <v>17.110764206356293</v>
      </c>
      <c r="I46">
        <v>79.15110075522125</v>
      </c>
    </row>
    <row r="47" spans="1:9">
      <c r="A47">
        <v>4</v>
      </c>
      <c r="B47">
        <v>5.4555271186494556</v>
      </c>
      <c r="C47">
        <v>1.7832346829242738</v>
      </c>
      <c r="F47">
        <v>0.6356662851864171</v>
      </c>
      <c r="H47">
        <v>1.4209599420951236E-2</v>
      </c>
      <c r="I47">
        <v>0.81560911701046723</v>
      </c>
    </row>
    <row r="48" spans="1:9">
      <c r="A48">
        <v>6</v>
      </c>
      <c r="B48">
        <v>23.782117452827496</v>
      </c>
      <c r="C48">
        <v>5.0942055493747764</v>
      </c>
      <c r="F48">
        <v>1.05212432781596</v>
      </c>
      <c r="H48">
        <v>5.2954400159818533</v>
      </c>
      <c r="I48">
        <v>10.146187884745586</v>
      </c>
    </row>
    <row r="49" spans="1:9">
      <c r="A49">
        <v>10</v>
      </c>
      <c r="B49">
        <v>18.152178107555756</v>
      </c>
      <c r="C49">
        <v>6.7994477898113814</v>
      </c>
      <c r="F49">
        <v>0.91668388338141671</v>
      </c>
      <c r="H49">
        <v>7.2955036894212517</v>
      </c>
      <c r="I49">
        <v>13.693067227729273</v>
      </c>
    </row>
    <row r="50" spans="1:9">
      <c r="A50">
        <v>15</v>
      </c>
      <c r="B50">
        <v>4.1874078533570014</v>
      </c>
      <c r="C50">
        <v>1.6276334535062915</v>
      </c>
      <c r="F50">
        <v>0.2866352111355468</v>
      </c>
      <c r="H50">
        <v>35.208237894548006</v>
      </c>
      <c r="I50">
        <v>7.6886827255869994</v>
      </c>
    </row>
    <row r="51" spans="1:9">
      <c r="A51">
        <v>15.25</v>
      </c>
      <c r="B51">
        <v>0</v>
      </c>
      <c r="C51">
        <v>0</v>
      </c>
      <c r="F51">
        <v>0</v>
      </c>
      <c r="H51">
        <v>0</v>
      </c>
      <c r="I51">
        <v>0</v>
      </c>
    </row>
    <row r="52" spans="1:9">
      <c r="A52">
        <v>15.5</v>
      </c>
      <c r="B52">
        <v>52.321068743402797</v>
      </c>
      <c r="C52">
        <v>12.043290511680068</v>
      </c>
      <c r="F52">
        <v>1.9071600579597288</v>
      </c>
      <c r="H52">
        <v>8.4085147988986932</v>
      </c>
      <c r="I52">
        <v>4.0123875110334657</v>
      </c>
    </row>
    <row r="53" spans="1:9">
      <c r="A53">
        <v>15.75</v>
      </c>
      <c r="B53">
        <v>0</v>
      </c>
      <c r="C53">
        <v>0</v>
      </c>
      <c r="F53">
        <v>0</v>
      </c>
      <c r="H53">
        <v>0</v>
      </c>
      <c r="I53">
        <v>0</v>
      </c>
    </row>
    <row r="54" spans="1:9">
      <c r="A54">
        <v>16</v>
      </c>
      <c r="B54">
        <v>40.482723089359524</v>
      </c>
      <c r="C54">
        <v>2.0987988012300889</v>
      </c>
      <c r="F54">
        <v>5.8511336147411228</v>
      </c>
      <c r="H54">
        <v>2.6115414257146483</v>
      </c>
      <c r="I54">
        <v>24.779931107366338</v>
      </c>
    </row>
    <row r="55" spans="1:9">
      <c r="A55">
        <v>17</v>
      </c>
      <c r="B55">
        <v>52.609588109822475</v>
      </c>
      <c r="C55">
        <v>6.3446141941427499</v>
      </c>
      <c r="F55">
        <v>5.4374141996518111</v>
      </c>
      <c r="H55">
        <v>4.4189582725169316</v>
      </c>
      <c r="I55">
        <v>1.3993029235525682</v>
      </c>
    </row>
    <row r="56" spans="1:9">
      <c r="A56">
        <v>20</v>
      </c>
      <c r="B56">
        <v>47.199569897653184</v>
      </c>
      <c r="C56">
        <v>5.7702057810760579</v>
      </c>
      <c r="F56">
        <v>2.9346531355706738</v>
      </c>
      <c r="H56">
        <v>9.696767802182352</v>
      </c>
      <c r="I56">
        <v>44.491436054427709</v>
      </c>
    </row>
    <row r="57" spans="1:9">
      <c r="A57">
        <v>25</v>
      </c>
      <c r="B57">
        <v>0</v>
      </c>
      <c r="C57">
        <v>0</v>
      </c>
      <c r="F57">
        <v>0</v>
      </c>
      <c r="H57">
        <v>0</v>
      </c>
      <c r="I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04FD-88F7-7C4B-BD98-2AA07F7D59B2}">
  <dimension ref="A1:K35"/>
  <sheetViews>
    <sheetView tabSelected="1" workbookViewId="0">
      <selection activeCell="F8" sqref="F8"/>
    </sheetView>
  </sheetViews>
  <sheetFormatPr baseColWidth="10" defaultRowHeight="16"/>
  <sheetData>
    <row r="1" spans="1:11">
      <c r="A1" t="s">
        <v>9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</row>
    <row r="2" spans="1:11">
      <c r="K2" s="3">
        <v>45009</v>
      </c>
    </row>
    <row r="3" spans="1:11">
      <c r="A3">
        <v>190</v>
      </c>
      <c r="B3">
        <v>438.82308764073827</v>
      </c>
      <c r="C3">
        <v>235.75561501976901</v>
      </c>
      <c r="D3">
        <v>3.5615197461363999</v>
      </c>
      <c r="E3">
        <v>0.58098202689488654</v>
      </c>
      <c r="F3">
        <v>5.3602519332670537</v>
      </c>
      <c r="G3">
        <v>-0.10114058699952082</v>
      </c>
      <c r="H3">
        <v>-1.2008470299268044</v>
      </c>
      <c r="I3">
        <v>34.369734624980609</v>
      </c>
    </row>
    <row r="4" spans="1:11">
      <c r="A4">
        <v>250</v>
      </c>
      <c r="B4">
        <v>436.53078264417439</v>
      </c>
      <c r="C4">
        <v>222.87936751155999</v>
      </c>
      <c r="D4">
        <v>5.4879133199066663</v>
      </c>
      <c r="E4">
        <v>0.18946037098920596</v>
      </c>
      <c r="F4">
        <v>3.4181388836810918</v>
      </c>
      <c r="G4">
        <v>-0.22787782360386025</v>
      </c>
      <c r="H4">
        <v>-0.1803736203763211</v>
      </c>
      <c r="I4">
        <v>10.928951540098572</v>
      </c>
    </row>
    <row r="5" spans="1:11">
      <c r="A5">
        <v>310</v>
      </c>
      <c r="B5">
        <v>401.52108046205672</v>
      </c>
      <c r="C5">
        <v>201.2052104431863</v>
      </c>
      <c r="D5">
        <v>21.489104581185163</v>
      </c>
      <c r="E5">
        <v>0.12088386787942663</v>
      </c>
      <c r="F5">
        <v>5.0094129743029674</v>
      </c>
      <c r="G5">
        <v>2.4506251700782133</v>
      </c>
      <c r="H5">
        <v>223.00962809430175</v>
      </c>
      <c r="I5">
        <v>146.76924203304571</v>
      </c>
    </row>
    <row r="6" spans="1:11">
      <c r="A6">
        <v>340</v>
      </c>
      <c r="B6">
        <v>408.76737686396632</v>
      </c>
      <c r="C6">
        <v>185.66179365540086</v>
      </c>
      <c r="D6">
        <v>36.215530742696025</v>
      </c>
      <c r="E6">
        <v>0.7097811772538799</v>
      </c>
      <c r="F6">
        <v>7.0201303166331348</v>
      </c>
      <c r="G6">
        <v>1.6821968169345516</v>
      </c>
      <c r="H6">
        <v>115.2181025646147</v>
      </c>
      <c r="I6">
        <v>265.18452061371954</v>
      </c>
    </row>
    <row r="7" spans="1:11">
      <c r="A7">
        <v>370</v>
      </c>
      <c r="B7">
        <v>389.56806883666428</v>
      </c>
      <c r="C7">
        <v>171.99634028434969</v>
      </c>
      <c r="D7">
        <v>49.293769324476152</v>
      </c>
      <c r="E7">
        <v>0.39314477277417997</v>
      </c>
      <c r="F7">
        <v>4.4398918615490981</v>
      </c>
      <c r="G7">
        <v>2.6360629295142148</v>
      </c>
      <c r="H7">
        <v>9.6831830892834088</v>
      </c>
      <c r="I7">
        <v>383.53195148383548</v>
      </c>
    </row>
    <row r="9" spans="1:11">
      <c r="A9">
        <v>190</v>
      </c>
      <c r="B9">
        <v>440.41864949691859</v>
      </c>
      <c r="C9" s="5">
        <v>219.4701</v>
      </c>
      <c r="D9">
        <v>3.4833594423769827</v>
      </c>
      <c r="E9">
        <v>0.37824853279962506</v>
      </c>
      <c r="F9" s="4">
        <v>4.7352639376218839</v>
      </c>
      <c r="G9">
        <v>1.0625059168683728</v>
      </c>
      <c r="H9">
        <v>1.2615305806605464</v>
      </c>
      <c r="I9" s="4">
        <v>-0.35652168205779416</v>
      </c>
      <c r="K9" s="3">
        <v>45149</v>
      </c>
    </row>
    <row r="10" spans="1:11">
      <c r="A10">
        <v>250</v>
      </c>
      <c r="B10">
        <v>419.1886389824171</v>
      </c>
      <c r="C10" s="5">
        <v>209.0376</v>
      </c>
      <c r="D10">
        <v>6.8152684742158502</v>
      </c>
      <c r="E10">
        <v>0.52954794591948018</v>
      </c>
      <c r="F10" s="4">
        <v>4.7352639376217409</v>
      </c>
      <c r="G10">
        <v>0.85000473349462746</v>
      </c>
      <c r="H10">
        <v>2.1025509677675305</v>
      </c>
      <c r="I10" s="4">
        <v>-0.35652168205779416</v>
      </c>
    </row>
    <row r="11" spans="1:11">
      <c r="A11">
        <v>310</v>
      </c>
      <c r="B11">
        <v>398.37490318388581</v>
      </c>
      <c r="C11" s="5">
        <v>185.46770000000001</v>
      </c>
      <c r="D11">
        <v>20.710843641089273</v>
      </c>
      <c r="E11">
        <v>0.3782485327995998</v>
      </c>
      <c r="F11" s="4">
        <v>4.3159088743178984</v>
      </c>
      <c r="G11">
        <v>2.5566882863723563</v>
      </c>
      <c r="H11">
        <v>212.71321394845143</v>
      </c>
      <c r="I11" s="4">
        <v>132.09128320239424</v>
      </c>
    </row>
    <row r="12" spans="1:11">
      <c r="A12">
        <v>340</v>
      </c>
      <c r="B12">
        <v>389.63313414850273</v>
      </c>
      <c r="C12" s="5">
        <v>172.71680000000001</v>
      </c>
      <c r="D12">
        <v>32.99725819599503</v>
      </c>
      <c r="E12">
        <v>0.37824853279965026</v>
      </c>
      <c r="F12" s="4">
        <v>4.7423230669266276</v>
      </c>
      <c r="G12">
        <v>2.7666866875381277</v>
      </c>
      <c r="H12">
        <v>116.44577127217599</v>
      </c>
      <c r="I12" s="4">
        <v>239.93909202486188</v>
      </c>
    </row>
    <row r="13" spans="1:11">
      <c r="A13">
        <v>370</v>
      </c>
      <c r="B13">
        <v>375.65386744639392</v>
      </c>
      <c r="C13" s="5">
        <v>157.6747</v>
      </c>
      <c r="D13">
        <v>44.876113060428843</v>
      </c>
      <c r="E13">
        <v>0.60480770553836449</v>
      </c>
      <c r="F13" s="4">
        <v>4.2994463937619951</v>
      </c>
      <c r="G13">
        <v>2.9713039636126908</v>
      </c>
      <c r="H13">
        <v>30.238755555555574</v>
      </c>
      <c r="I13">
        <v>340.43697205977895</v>
      </c>
    </row>
    <row r="14" spans="1:11">
      <c r="A14">
        <v>610</v>
      </c>
      <c r="B14">
        <v>348.00566255144059</v>
      </c>
      <c r="C14" s="5">
        <v>123.6451</v>
      </c>
      <c r="D14">
        <v>70.04581487388505</v>
      </c>
      <c r="E14">
        <v>0.90779647871907987</v>
      </c>
      <c r="F14">
        <v>3.0103549963572904</v>
      </c>
      <c r="G14">
        <v>2.5474472443734912</v>
      </c>
      <c r="H14">
        <v>3.7807413078154144</v>
      </c>
      <c r="I14">
        <v>371.85211438622724</v>
      </c>
    </row>
    <row r="16" spans="1:11">
      <c r="A16">
        <v>190</v>
      </c>
      <c r="B16">
        <f>AVERAGE(B3,B9)</f>
        <v>439.62086856882843</v>
      </c>
      <c r="C16">
        <f t="shared" ref="C16:E16" si="0">AVERAGE(C3,C9)</f>
        <v>227.61285750988452</v>
      </c>
      <c r="D16">
        <f t="shared" si="0"/>
        <v>3.5224395942566913</v>
      </c>
      <c r="E16">
        <f t="shared" si="0"/>
        <v>0.47961527984725583</v>
      </c>
      <c r="F16">
        <f>AVERAGE(F3,F9)</f>
        <v>5.0477579354444693</v>
      </c>
      <c r="G16">
        <f>AVERAGE(G3,G9)</f>
        <v>0.48068266493442602</v>
      </c>
      <c r="H16">
        <f>AVERAGE(H3,H9)</f>
        <v>3.0341775366870993E-2</v>
      </c>
      <c r="I16">
        <f>AVERAGE(I3,I9)</f>
        <v>17.006606471461406</v>
      </c>
      <c r="K16" t="s">
        <v>12</v>
      </c>
    </row>
    <row r="17" spans="1:11">
      <c r="A17">
        <v>250</v>
      </c>
      <c r="B17">
        <f t="shared" ref="B17:I20" si="1">AVERAGE(B4,B10)</f>
        <v>427.85971081329575</v>
      </c>
      <c r="C17">
        <f t="shared" si="1"/>
        <v>215.95848375577998</v>
      </c>
      <c r="D17">
        <f t="shared" si="1"/>
        <v>6.1515908970612578</v>
      </c>
      <c r="E17">
        <f t="shared" si="1"/>
        <v>0.35950415845434308</v>
      </c>
      <c r="F17">
        <f t="shared" si="1"/>
        <v>4.0767014106514168</v>
      </c>
      <c r="G17">
        <f t="shared" si="1"/>
        <v>0.31106345494538362</v>
      </c>
      <c r="H17">
        <f t="shared" si="1"/>
        <v>0.96108867369560469</v>
      </c>
      <c r="I17">
        <f t="shared" si="1"/>
        <v>5.2862149290203888</v>
      </c>
    </row>
    <row r="18" spans="1:11">
      <c r="A18">
        <v>310</v>
      </c>
      <c r="B18">
        <f t="shared" si="1"/>
        <v>399.94799182297129</v>
      </c>
      <c r="C18">
        <f t="shared" si="1"/>
        <v>193.33645522159316</v>
      </c>
      <c r="D18">
        <f t="shared" si="1"/>
        <v>21.099974111137218</v>
      </c>
      <c r="E18">
        <f t="shared" si="1"/>
        <v>0.24956620033951321</v>
      </c>
      <c r="F18">
        <f t="shared" si="1"/>
        <v>4.6626609243104333</v>
      </c>
      <c r="G18">
        <f t="shared" si="1"/>
        <v>2.5036567282252848</v>
      </c>
      <c r="H18">
        <f t="shared" si="1"/>
        <v>217.8614210213766</v>
      </c>
      <c r="I18">
        <f t="shared" si="1"/>
        <v>139.43026261771996</v>
      </c>
    </row>
    <row r="19" spans="1:11">
      <c r="A19">
        <v>340</v>
      </c>
      <c r="B19">
        <f t="shared" si="1"/>
        <v>399.2002555062345</v>
      </c>
      <c r="C19">
        <f t="shared" si="1"/>
        <v>179.18929682770045</v>
      </c>
      <c r="D19">
        <f t="shared" si="1"/>
        <v>34.606394469345531</v>
      </c>
      <c r="E19">
        <f t="shared" si="1"/>
        <v>0.54401485502676505</v>
      </c>
      <c r="F19">
        <f t="shared" si="1"/>
        <v>5.8812266917798812</v>
      </c>
      <c r="G19">
        <f t="shared" si="1"/>
        <v>2.2244417522363396</v>
      </c>
      <c r="H19">
        <f t="shared" si="1"/>
        <v>115.83193691839534</v>
      </c>
      <c r="I19">
        <f t="shared" si="1"/>
        <v>252.56180631929072</v>
      </c>
    </row>
    <row r="20" spans="1:11">
      <c r="A20">
        <v>370</v>
      </c>
      <c r="B20">
        <f t="shared" si="1"/>
        <v>382.6109681415291</v>
      </c>
      <c r="C20">
        <f t="shared" si="1"/>
        <v>164.83552014217486</v>
      </c>
      <c r="D20">
        <f t="shared" si="1"/>
        <v>47.084941192452497</v>
      </c>
      <c r="E20">
        <f t="shared" si="1"/>
        <v>0.49897623915627221</v>
      </c>
      <c r="F20">
        <f t="shared" si="1"/>
        <v>4.3696691276555466</v>
      </c>
      <c r="G20">
        <f t="shared" si="1"/>
        <v>2.8036834465634528</v>
      </c>
      <c r="H20">
        <f t="shared" si="1"/>
        <v>19.960969322419491</v>
      </c>
      <c r="I20">
        <f t="shared" si="1"/>
        <v>361.98446177180722</v>
      </c>
    </row>
    <row r="21" spans="1:11">
      <c r="A21">
        <v>610</v>
      </c>
      <c r="B21">
        <f>AVERAGE(B8,B14)</f>
        <v>348.00566255144059</v>
      </c>
      <c r="C21">
        <f t="shared" ref="C21:I21" si="2">AVERAGE(C8,C14)</f>
        <v>123.6451</v>
      </c>
      <c r="D21">
        <f t="shared" si="2"/>
        <v>70.04581487388505</v>
      </c>
      <c r="E21">
        <f t="shared" si="2"/>
        <v>0.90779647871907987</v>
      </c>
      <c r="F21">
        <f t="shared" si="2"/>
        <v>3.0103549963572904</v>
      </c>
      <c r="G21">
        <f t="shared" si="2"/>
        <v>2.5474472443734912</v>
      </c>
      <c r="H21">
        <f t="shared" si="2"/>
        <v>3.7807413078154144</v>
      </c>
      <c r="I21">
        <f t="shared" si="2"/>
        <v>371.85211438622724</v>
      </c>
    </row>
    <row r="23" spans="1:11">
      <c r="A23">
        <v>190</v>
      </c>
      <c r="B23">
        <f>STDEV(B3,B9)</f>
        <v>1.1282326083077026</v>
      </c>
      <c r="C23">
        <f t="shared" ref="C23:I23" si="3">STDEV(C3,C9)</f>
        <v>11.515598105594037</v>
      </c>
      <c r="D23">
        <f t="shared" si="3"/>
        <v>5.5267680807884294E-2</v>
      </c>
      <c r="E23">
        <f t="shared" si="3"/>
        <v>0.14335422844840218</v>
      </c>
      <c r="F23">
        <f t="shared" si="3"/>
        <v>0.44193324988088806</v>
      </c>
      <c r="G23">
        <f t="shared" si="3"/>
        <v>0.8228223337890056</v>
      </c>
      <c r="H23">
        <f t="shared" si="3"/>
        <v>1.7411639062882436</v>
      </c>
      <c r="I23">
        <f t="shared" si="3"/>
        <v>24.55517131992897</v>
      </c>
      <c r="K23" t="s">
        <v>11</v>
      </c>
    </row>
    <row r="24" spans="1:11">
      <c r="A24">
        <v>250</v>
      </c>
      <c r="B24">
        <f>STDEV(B4,B10)</f>
        <v>12.262747383539883</v>
      </c>
      <c r="C24">
        <f t="shared" ref="C24:I24" si="4">STDEV(C4,C10)</f>
        <v>9.787607671031715</v>
      </c>
      <c r="D24">
        <f t="shared" si="4"/>
        <v>0.93858183065494694</v>
      </c>
      <c r="E24">
        <f t="shared" si="4"/>
        <v>0.24047823043048489</v>
      </c>
      <c r="F24">
        <f t="shared" si="4"/>
        <v>0.93134805731212844</v>
      </c>
      <c r="G24">
        <f t="shared" si="4"/>
        <v>0.76217806544703659</v>
      </c>
      <c r="H24">
        <f t="shared" si="4"/>
        <v>1.6142714572140238</v>
      </c>
      <c r="I24">
        <f t="shared" si="4"/>
        <v>7.9800346442859631</v>
      </c>
    </row>
    <row r="25" spans="1:11">
      <c r="A25">
        <v>310</v>
      </c>
      <c r="B25">
        <f>STDEV(B5,B11)</f>
        <v>2.2246832882096852</v>
      </c>
      <c r="C25">
        <f t="shared" ref="C25:I25" si="5">STDEV(C5,C11)</f>
        <v>11.128100353371138</v>
      </c>
      <c r="D25">
        <f t="shared" si="5"/>
        <v>0.55031358827442156</v>
      </c>
      <c r="E25">
        <f t="shared" si="5"/>
        <v>0.18198429980285805</v>
      </c>
      <c r="F25">
        <f t="shared" si="5"/>
        <v>0.49038145188011578</v>
      </c>
      <c r="G25">
        <f>STDEV(G5,G11)</f>
        <v>7.4997948765365918E-2</v>
      </c>
      <c r="H25">
        <f t="shared" si="5"/>
        <v>7.2806642644358552</v>
      </c>
      <c r="I25">
        <f t="shared" si="5"/>
        <v>10.378884223130626</v>
      </c>
    </row>
    <row r="26" spans="1:11">
      <c r="A26">
        <v>340</v>
      </c>
      <c r="B26">
        <f>STDEV(B6,B12)</f>
        <v>13.529952776973602</v>
      </c>
      <c r="C26">
        <f t="shared" ref="C26:I26" si="6">STDEV(C6,C12)</f>
        <v>9.1534927961507755</v>
      </c>
      <c r="D26">
        <f t="shared" si="6"/>
        <v>2.2756623414787733</v>
      </c>
      <c r="E26">
        <f t="shared" si="6"/>
        <v>0.23442898107829449</v>
      </c>
      <c r="F26">
        <f t="shared" si="6"/>
        <v>1.6106529525033539</v>
      </c>
      <c r="G26">
        <f t="shared" si="6"/>
        <v>0.76685014163191179</v>
      </c>
      <c r="H26">
        <f t="shared" si="6"/>
        <v>0.86809286816711462</v>
      </c>
      <c r="I26">
        <f t="shared" si="6"/>
        <v>17.851213749141987</v>
      </c>
    </row>
    <row r="27" spans="1:11">
      <c r="A27">
        <v>370</v>
      </c>
      <c r="B27">
        <f>STDEV(B7,B13)</f>
        <v>9.8388261578554612</v>
      </c>
      <c r="C27">
        <f t="shared" ref="C27:H27" si="7">STDEV(C7,C13)</f>
        <v>10.126928962778097</v>
      </c>
      <c r="D27">
        <f t="shared" si="7"/>
        <v>3.1237547012590818</v>
      </c>
      <c r="E27">
        <f t="shared" si="7"/>
        <v>0.14966829508338747</v>
      </c>
      <c r="F27">
        <f t="shared" si="7"/>
        <v>9.9309942659177336E-2</v>
      </c>
      <c r="G27">
        <f t="shared" si="7"/>
        <v>0.23705120854302295</v>
      </c>
      <c r="H27">
        <f t="shared" si="7"/>
        <v>14.534984682072537</v>
      </c>
      <c r="I27">
        <f>STDEV(I7,I13)</f>
        <v>30.47275218584511</v>
      </c>
    </row>
    <row r="28" spans="1:11">
      <c r="A28">
        <v>610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30" spans="1:11">
      <c r="A30">
        <v>190</v>
      </c>
      <c r="B30">
        <f>B23/2</f>
        <v>0.56411630415385128</v>
      </c>
      <c r="C30">
        <f t="shared" ref="C30:I30" si="8">C23/2</f>
        <v>5.7577990527970186</v>
      </c>
      <c r="D30">
        <f t="shared" si="8"/>
        <v>2.7633840403942147E-2</v>
      </c>
      <c r="E30">
        <f t="shared" si="8"/>
        <v>7.1677114224201088E-2</v>
      </c>
      <c r="F30">
        <f t="shared" si="8"/>
        <v>0.22096662494044403</v>
      </c>
      <c r="G30">
        <f t="shared" si="8"/>
        <v>0.4114111668945028</v>
      </c>
      <c r="H30">
        <f t="shared" si="8"/>
        <v>0.87058195314412179</v>
      </c>
      <c r="I30">
        <f t="shared" si="8"/>
        <v>12.277585659964485</v>
      </c>
      <c r="K30" t="s">
        <v>10</v>
      </c>
    </row>
    <row r="31" spans="1:11">
      <c r="A31">
        <v>250</v>
      </c>
      <c r="B31">
        <f t="shared" ref="B31:I35" si="9">B24/2</f>
        <v>6.1313736917699417</v>
      </c>
      <c r="C31">
        <f t="shared" si="9"/>
        <v>4.8938038355158575</v>
      </c>
      <c r="D31">
        <f t="shared" si="9"/>
        <v>0.46929091532747347</v>
      </c>
      <c r="E31">
        <f t="shared" si="9"/>
        <v>0.12023911521524244</v>
      </c>
      <c r="F31">
        <f t="shared" si="9"/>
        <v>0.46567402865606422</v>
      </c>
      <c r="G31">
        <f t="shared" si="9"/>
        <v>0.3810890327235183</v>
      </c>
      <c r="H31">
        <f t="shared" si="9"/>
        <v>0.80713572860701188</v>
      </c>
      <c r="I31">
        <f t="shared" si="9"/>
        <v>3.9900173221429815</v>
      </c>
    </row>
    <row r="32" spans="1:11">
      <c r="A32">
        <v>310</v>
      </c>
      <c r="B32">
        <f t="shared" si="9"/>
        <v>1.1123416441048426</v>
      </c>
      <c r="C32">
        <f t="shared" si="9"/>
        <v>5.5640501766855692</v>
      </c>
      <c r="D32">
        <f t="shared" si="9"/>
        <v>0.27515679413721078</v>
      </c>
      <c r="E32">
        <f t="shared" si="9"/>
        <v>9.0992149901429023E-2</v>
      </c>
      <c r="F32">
        <f t="shared" si="9"/>
        <v>0.24519072594005789</v>
      </c>
      <c r="G32">
        <f t="shared" si="9"/>
        <v>3.7498974382682959E-2</v>
      </c>
      <c r="H32">
        <f t="shared" si="9"/>
        <v>3.6403321322179276</v>
      </c>
      <c r="I32">
        <f t="shared" si="9"/>
        <v>5.1894421115653131</v>
      </c>
    </row>
    <row r="33" spans="1:9">
      <c r="A33">
        <v>340</v>
      </c>
      <c r="B33">
        <f t="shared" si="9"/>
        <v>6.7649763884868008</v>
      </c>
      <c r="C33">
        <f t="shared" si="9"/>
        <v>4.5767463980753877</v>
      </c>
      <c r="D33">
        <f t="shared" si="9"/>
        <v>1.1378311707393867</v>
      </c>
      <c r="E33">
        <f t="shared" si="9"/>
        <v>0.11721449053914725</v>
      </c>
      <c r="F33">
        <f t="shared" si="9"/>
        <v>0.80532647625167697</v>
      </c>
      <c r="G33">
        <f t="shared" si="9"/>
        <v>0.38342507081595589</v>
      </c>
      <c r="H33">
        <f t="shared" si="9"/>
        <v>0.43404643408355731</v>
      </c>
      <c r="I33">
        <f t="shared" si="9"/>
        <v>8.9256068745709936</v>
      </c>
    </row>
    <row r="34" spans="1:9">
      <c r="A34">
        <v>370</v>
      </c>
      <c r="B34">
        <f t="shared" si="9"/>
        <v>4.9194130789277306</v>
      </c>
      <c r="C34">
        <f t="shared" si="9"/>
        <v>5.0634644813890484</v>
      </c>
      <c r="D34">
        <f t="shared" si="9"/>
        <v>1.5618773506295409</v>
      </c>
      <c r="E34">
        <f t="shared" si="9"/>
        <v>7.4834147541693735E-2</v>
      </c>
      <c r="F34">
        <f t="shared" si="9"/>
        <v>4.9654971329588668E-2</v>
      </c>
      <c r="G34">
        <f t="shared" si="9"/>
        <v>0.11852560427151147</v>
      </c>
      <c r="H34">
        <f t="shared" si="9"/>
        <v>7.2674923410362684</v>
      </c>
      <c r="I34">
        <f t="shared" si="9"/>
        <v>15.236376092922555</v>
      </c>
    </row>
    <row r="35" spans="1:9">
      <c r="A35">
        <v>610</v>
      </c>
      <c r="B35">
        <f t="shared" si="9"/>
        <v>0</v>
      </c>
      <c r="C35">
        <f t="shared" si="9"/>
        <v>0</v>
      </c>
      <c r="D35">
        <f t="shared" si="9"/>
        <v>0</v>
      </c>
      <c r="E35">
        <f t="shared" si="9"/>
        <v>0</v>
      </c>
      <c r="F35">
        <f t="shared" si="9"/>
        <v>0</v>
      </c>
      <c r="G35">
        <f t="shared" si="9"/>
        <v>0</v>
      </c>
      <c r="H35">
        <f t="shared" si="9"/>
        <v>0</v>
      </c>
      <c r="I35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86D4-2FFF-F04E-8D8A-476E7CA9A00F}">
  <dimension ref="A1:K35"/>
  <sheetViews>
    <sheetView workbookViewId="0">
      <selection activeCell="F8" sqref="F8"/>
    </sheetView>
  </sheetViews>
  <sheetFormatPr baseColWidth="10" defaultRowHeight="16"/>
  <sheetData>
    <row r="1" spans="1:11">
      <c r="A1" t="s">
        <v>9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</row>
    <row r="2" spans="1:11">
      <c r="K2" s="3">
        <v>45117</v>
      </c>
    </row>
    <row r="3" spans="1:11">
      <c r="A3">
        <v>190</v>
      </c>
      <c r="B3">
        <v>470.88954218923544</v>
      </c>
      <c r="C3">
        <v>228.48073516667367</v>
      </c>
      <c r="D3">
        <v>6.1266952679222912</v>
      </c>
      <c r="E3">
        <v>0.22668840362086881</v>
      </c>
      <c r="F3">
        <v>10.005076699033653</v>
      </c>
      <c r="G3">
        <v>2.4216791854362567</v>
      </c>
      <c r="H3">
        <v>0.75666417263709529</v>
      </c>
      <c r="I3">
        <v>3.9172332628364881</v>
      </c>
    </row>
    <row r="4" spans="1:11">
      <c r="A4">
        <v>250</v>
      </c>
      <c r="B4">
        <v>470.57769481030215</v>
      </c>
      <c r="C4">
        <v>221.27638766141814</v>
      </c>
      <c r="D4">
        <v>8.0176505975278953</v>
      </c>
      <c r="E4">
        <v>0.96720385544924814</v>
      </c>
      <c r="F4">
        <v>10.973309927972442</v>
      </c>
      <c r="G4">
        <v>2.8465351828811638</v>
      </c>
      <c r="H4">
        <v>0.75666417263709529</v>
      </c>
      <c r="I4">
        <v>-0.35611211480337102</v>
      </c>
    </row>
    <row r="5" spans="1:11">
      <c r="A5">
        <v>310</v>
      </c>
      <c r="B5">
        <v>459.70115562291767</v>
      </c>
      <c r="C5">
        <v>205.4803342744211</v>
      </c>
      <c r="D5">
        <v>16.728780587518735</v>
      </c>
      <c r="E5">
        <v>0.3024814813242574</v>
      </c>
      <c r="F5">
        <v>8.416094401258114</v>
      </c>
      <c r="G5">
        <v>4.9856102624337471</v>
      </c>
      <c r="H5">
        <v>297.28270916201348</v>
      </c>
      <c r="I5">
        <v>82.324571493145029</v>
      </c>
    </row>
    <row r="6" spans="1:11">
      <c r="A6">
        <v>340</v>
      </c>
      <c r="B6">
        <v>448.46609682968955</v>
      </c>
      <c r="C6">
        <v>195.69555645182967</v>
      </c>
      <c r="D6">
        <v>24.37406040353407</v>
      </c>
      <c r="E6">
        <v>0.37810185165530918</v>
      </c>
      <c r="F6">
        <v>8.4094229035163313</v>
      </c>
      <c r="G6">
        <v>5.4073857709502029</v>
      </c>
      <c r="H6">
        <v>236.59542995389231</v>
      </c>
      <c r="I6">
        <v>140.05868656625972</v>
      </c>
    </row>
    <row r="7" spans="1:11">
      <c r="A7">
        <v>370</v>
      </c>
      <c r="B7">
        <v>444.43636463448729</v>
      </c>
      <c r="C7">
        <v>186.82107486106571</v>
      </c>
      <c r="D7">
        <v>31.318014871890473</v>
      </c>
      <c r="E7">
        <v>0.13602952404365512</v>
      </c>
      <c r="F7">
        <v>8.7238095958544299</v>
      </c>
      <c r="G7">
        <v>5.4017528137561301</v>
      </c>
      <c r="H7">
        <v>183.50874539164627</v>
      </c>
      <c r="I7">
        <v>191.96768943781396</v>
      </c>
    </row>
    <row r="9" spans="1:11">
      <c r="A9">
        <v>190</v>
      </c>
      <c r="B9">
        <v>456.76851596992651</v>
      </c>
      <c r="C9">
        <v>218.4397507708666</v>
      </c>
      <c r="D9" s="1">
        <v>3.8250871806760642</v>
      </c>
      <c r="E9">
        <v>1.384738726339511</v>
      </c>
      <c r="F9" s="1">
        <v>6.4588063789163437</v>
      </c>
      <c r="G9">
        <v>2.5506572279130659</v>
      </c>
      <c r="H9">
        <v>2.1030811600866088</v>
      </c>
      <c r="I9">
        <v>0.53478252308658736</v>
      </c>
      <c r="K9" s="3">
        <v>45149</v>
      </c>
    </row>
    <row r="10" spans="1:11">
      <c r="A10">
        <v>250</v>
      </c>
      <c r="B10">
        <v>448.64569852845574</v>
      </c>
      <c r="C10">
        <v>204.01448421052621</v>
      </c>
      <c r="D10" s="1">
        <v>6.7774247660345326</v>
      </c>
      <c r="E10">
        <v>1.581718988519778</v>
      </c>
      <c r="F10">
        <v>6.0429972811408019</v>
      </c>
      <c r="G10">
        <v>2.5569068110342279</v>
      </c>
      <c r="H10">
        <v>2.5298781978101861</v>
      </c>
      <c r="I10">
        <v>1.0695650461731747</v>
      </c>
    </row>
    <row r="11" spans="1:11">
      <c r="A11">
        <v>310</v>
      </c>
      <c r="B11">
        <v>447.28168262327563</v>
      </c>
      <c r="C11">
        <v>193.1955342902711</v>
      </c>
      <c r="D11" s="1">
        <v>16.333641489408368</v>
      </c>
      <c r="E11">
        <v>5.8357213206071767</v>
      </c>
      <c r="F11">
        <v>6.4686039388767824</v>
      </c>
      <c r="G11">
        <v>5.1092614903778717</v>
      </c>
      <c r="H11">
        <v>292.65363806460539</v>
      </c>
      <c r="I11">
        <v>82.356508555338891</v>
      </c>
    </row>
    <row r="12" spans="1:11">
      <c r="A12">
        <v>340</v>
      </c>
      <c r="B12">
        <v>428.6226793076969</v>
      </c>
      <c r="C12">
        <v>176.19432727272712</v>
      </c>
      <c r="D12" s="1">
        <v>28.074265993266003</v>
      </c>
      <c r="E12">
        <v>1.3285077962285441</v>
      </c>
      <c r="F12">
        <v>7.3352226081479515</v>
      </c>
      <c r="G12">
        <v>5.1120477760055323</v>
      </c>
      <c r="H12">
        <v>198.10726298068417</v>
      </c>
      <c r="I12">
        <v>172.37823327491932</v>
      </c>
    </row>
    <row r="13" spans="1:11">
      <c r="A13">
        <v>370</v>
      </c>
      <c r="B13">
        <v>448.18897049261921</v>
      </c>
      <c r="C13">
        <v>182.64521578947358</v>
      </c>
      <c r="D13" s="1">
        <v>31.400239549028647</v>
      </c>
      <c r="E13">
        <v>1.30546223930185</v>
      </c>
      <c r="F13">
        <v>7.7662484486620533</v>
      </c>
      <c r="G13">
        <v>5.5377394246818863</v>
      </c>
      <c r="H13">
        <v>186.75974743760008</v>
      </c>
      <c r="I13">
        <v>195.42614251678572</v>
      </c>
    </row>
    <row r="14" spans="1:11">
      <c r="A14">
        <v>610</v>
      </c>
      <c r="B14">
        <v>352.37477115876698</v>
      </c>
      <c r="C14">
        <v>115.01574141414149</v>
      </c>
      <c r="D14" s="1">
        <v>62.699326003873765</v>
      </c>
      <c r="E14">
        <v>1.4192631619314549</v>
      </c>
      <c r="F14">
        <v>5.1626051622832234</v>
      </c>
      <c r="G14">
        <v>5.9463280089754154</v>
      </c>
      <c r="H14">
        <v>15.548987649178835</v>
      </c>
      <c r="I14">
        <v>353.84776944231129</v>
      </c>
    </row>
    <row r="16" spans="1:11">
      <c r="A16">
        <v>190</v>
      </c>
      <c r="B16">
        <f>AVERAGE(B3,B9)</f>
        <v>463.82902907958101</v>
      </c>
      <c r="C16">
        <f t="shared" ref="C16:E16" si="0">AVERAGE(C3,C9)</f>
        <v>223.46024296877013</v>
      </c>
      <c r="D16">
        <f t="shared" si="0"/>
        <v>4.9758912242991773</v>
      </c>
      <c r="E16">
        <f t="shared" si="0"/>
        <v>0.80571356498018987</v>
      </c>
      <c r="F16">
        <f>AVERAGE(F3,F9)</f>
        <v>8.2319415389749988</v>
      </c>
      <c r="G16">
        <f>AVERAGE(G3,G9)</f>
        <v>2.4861682066746615</v>
      </c>
      <c r="H16">
        <f>AVERAGE(H3,H9)</f>
        <v>1.429872666361852</v>
      </c>
      <c r="I16">
        <f>AVERAGE(I3,I9)</f>
        <v>2.2260078929615377</v>
      </c>
      <c r="K16" t="s">
        <v>12</v>
      </c>
    </row>
    <row r="17" spans="1:11">
      <c r="A17">
        <v>250</v>
      </c>
      <c r="B17">
        <f t="shared" ref="B17:I21" si="1">AVERAGE(B4,B10)</f>
        <v>459.61169666937894</v>
      </c>
      <c r="C17">
        <f t="shared" si="1"/>
        <v>212.64543593597216</v>
      </c>
      <c r="D17">
        <f t="shared" si="1"/>
        <v>7.3975376817812144</v>
      </c>
      <c r="E17">
        <f t="shared" si="1"/>
        <v>1.2744614219845132</v>
      </c>
      <c r="F17">
        <f t="shared" si="1"/>
        <v>8.5081536045566217</v>
      </c>
      <c r="G17">
        <f t="shared" si="1"/>
        <v>2.7017209969576959</v>
      </c>
      <c r="H17">
        <f t="shared" si="1"/>
        <v>1.6432711852236408</v>
      </c>
      <c r="I17">
        <f t="shared" si="1"/>
        <v>0.35672646568490185</v>
      </c>
    </row>
    <row r="18" spans="1:11">
      <c r="A18">
        <v>310</v>
      </c>
      <c r="B18">
        <f t="shared" si="1"/>
        <v>453.49141912309665</v>
      </c>
      <c r="C18">
        <f t="shared" si="1"/>
        <v>199.33793428234611</v>
      </c>
      <c r="D18">
        <f t="shared" si="1"/>
        <v>16.531211038463553</v>
      </c>
      <c r="E18">
        <f t="shared" si="1"/>
        <v>3.0691014009657169</v>
      </c>
      <c r="F18">
        <f t="shared" si="1"/>
        <v>7.4423491700674482</v>
      </c>
      <c r="G18">
        <f t="shared" si="1"/>
        <v>5.0474358764058094</v>
      </c>
      <c r="H18">
        <f t="shared" si="1"/>
        <v>294.96817361330943</v>
      </c>
      <c r="I18">
        <f t="shared" si="1"/>
        <v>82.34054002424196</v>
      </c>
    </row>
    <row r="19" spans="1:11">
      <c r="A19">
        <v>340</v>
      </c>
      <c r="B19">
        <f t="shared" si="1"/>
        <v>438.54438806869325</v>
      </c>
      <c r="C19">
        <f t="shared" si="1"/>
        <v>185.9449418622784</v>
      </c>
      <c r="D19">
        <f t="shared" si="1"/>
        <v>26.224163198400035</v>
      </c>
      <c r="E19">
        <f t="shared" si="1"/>
        <v>0.85330482394192664</v>
      </c>
      <c r="F19">
        <f t="shared" si="1"/>
        <v>7.8723227558321414</v>
      </c>
      <c r="G19">
        <f t="shared" si="1"/>
        <v>5.2597167734778676</v>
      </c>
      <c r="H19">
        <f t="shared" si="1"/>
        <v>217.35134646728824</v>
      </c>
      <c r="I19">
        <f t="shared" si="1"/>
        <v>156.21845992058951</v>
      </c>
    </row>
    <row r="20" spans="1:11">
      <c r="A20">
        <v>370</v>
      </c>
      <c r="B20">
        <f t="shared" si="1"/>
        <v>446.31266756355325</v>
      </c>
      <c r="C20">
        <f t="shared" si="1"/>
        <v>184.73314532526965</v>
      </c>
      <c r="D20">
        <f t="shared" si="1"/>
        <v>31.359127210459562</v>
      </c>
      <c r="E20">
        <f t="shared" si="1"/>
        <v>0.72074588167275255</v>
      </c>
      <c r="F20">
        <f t="shared" si="1"/>
        <v>8.2450290222582421</v>
      </c>
      <c r="G20">
        <f t="shared" si="1"/>
        <v>5.4697461192190087</v>
      </c>
      <c r="H20">
        <f t="shared" si="1"/>
        <v>185.13424641462319</v>
      </c>
      <c r="I20">
        <f t="shared" si="1"/>
        <v>193.69691597729985</v>
      </c>
    </row>
    <row r="21" spans="1:11">
      <c r="A21">
        <v>610</v>
      </c>
      <c r="B21">
        <f>AVERAGE(B8,B14)</f>
        <v>352.37477115876698</v>
      </c>
      <c r="C21">
        <f t="shared" si="1"/>
        <v>115.01574141414149</v>
      </c>
      <c r="D21">
        <f t="shared" si="1"/>
        <v>62.699326003873765</v>
      </c>
      <c r="E21">
        <f t="shared" si="1"/>
        <v>1.4192631619314549</v>
      </c>
      <c r="F21">
        <f t="shared" si="1"/>
        <v>5.1626051622832234</v>
      </c>
      <c r="G21">
        <f t="shared" si="1"/>
        <v>5.9463280089754154</v>
      </c>
      <c r="H21">
        <f t="shared" si="1"/>
        <v>15.548987649178835</v>
      </c>
      <c r="I21">
        <f t="shared" si="1"/>
        <v>353.84776944231129</v>
      </c>
    </row>
    <row r="23" spans="1:11">
      <c r="A23">
        <v>190</v>
      </c>
      <c r="B23">
        <f>STDEV(B3,B9)</f>
        <v>9.9850733969863814</v>
      </c>
      <c r="C23">
        <f t="shared" ref="C23:I27" si="2">STDEV(C3,C9)</f>
        <v>7.1000481560634894</v>
      </c>
      <c r="D23">
        <f t="shared" si="2"/>
        <v>1.6274826861256093</v>
      </c>
      <c r="E23">
        <f t="shared" si="2"/>
        <v>0.81886523614962181</v>
      </c>
      <c r="F23">
        <f t="shared" si="2"/>
        <v>2.5075917912755319</v>
      </c>
      <c r="G23">
        <f t="shared" si="2"/>
        <v>9.1201248459518366E-2</v>
      </c>
      <c r="H23">
        <f t="shared" si="2"/>
        <v>0.95206058213031419</v>
      </c>
      <c r="I23">
        <f t="shared" si="2"/>
        <v>2.3917538551066091</v>
      </c>
      <c r="K23" t="s">
        <v>11</v>
      </c>
    </row>
    <row r="24" spans="1:11">
      <c r="A24">
        <v>250</v>
      </c>
      <c r="B24">
        <f>STDEV(B4,B10)</f>
        <v>15.508263295851743</v>
      </c>
      <c r="C24">
        <f t="shared" si="2"/>
        <v>12.206008986313154</v>
      </c>
      <c r="D24">
        <f t="shared" si="2"/>
        <v>0.87697209565168122</v>
      </c>
      <c r="E24">
        <f t="shared" si="2"/>
        <v>0.43452781773592469</v>
      </c>
      <c r="F24">
        <f t="shared" si="2"/>
        <v>3.4862575059444474</v>
      </c>
      <c r="G24">
        <f t="shared" si="2"/>
        <v>0.20479818575698733</v>
      </c>
      <c r="H24">
        <f t="shared" si="2"/>
        <v>1.2538516616949851</v>
      </c>
      <c r="I24">
        <f t="shared" si="2"/>
        <v>1.0081059883093006</v>
      </c>
    </row>
    <row r="25" spans="1:11">
      <c r="A25">
        <v>310</v>
      </c>
      <c r="B25">
        <f>STDEV(B5,B11)</f>
        <v>8.7818935768101181</v>
      </c>
      <c r="C25">
        <f t="shared" si="2"/>
        <v>8.6866653743128559</v>
      </c>
      <c r="D25">
        <f>STDEV(D5,D11)</f>
        <v>0.27940553578577659</v>
      </c>
      <c r="E25">
        <f t="shared" si="2"/>
        <v>3.9125914122885153</v>
      </c>
      <c r="F25">
        <f t="shared" si="2"/>
        <v>1.377083712245962</v>
      </c>
      <c r="G25">
        <f>STDEV(G5,G11)</f>
        <v>8.7434621781334057E-2</v>
      </c>
      <c r="H25">
        <f t="shared" si="2"/>
        <v>3.2732475635719114</v>
      </c>
      <c r="I25">
        <f>STDEV(I5,I11)</f>
        <v>2.2582913248456137E-2</v>
      </c>
    </row>
    <row r="26" spans="1:11">
      <c r="A26">
        <v>340</v>
      </c>
      <c r="B26">
        <f>STDEV(B6,B12)</f>
        <v>14.031415091716958</v>
      </c>
      <c r="C26">
        <f t="shared" si="2"/>
        <v>13.789451394016384</v>
      </c>
      <c r="D26">
        <f t="shared" si="2"/>
        <v>2.6164404642838179</v>
      </c>
      <c r="E26">
        <f t="shared" si="2"/>
        <v>0.67203848828774049</v>
      </c>
      <c r="F26">
        <f t="shared" si="2"/>
        <v>0.75957431320757363</v>
      </c>
      <c r="G26">
        <f t="shared" si="2"/>
        <v>0.20883549896741488</v>
      </c>
      <c r="H26">
        <f t="shared" si="2"/>
        <v>27.215243862195592</v>
      </c>
      <c r="I26">
        <f t="shared" si="2"/>
        <v>22.853370642568741</v>
      </c>
    </row>
    <row r="27" spans="1:11">
      <c r="A27">
        <v>370</v>
      </c>
      <c r="B27">
        <f>STDEV(B7,B13)</f>
        <v>2.6534930494054403</v>
      </c>
      <c r="C27">
        <f t="shared" si="2"/>
        <v>2.9527782668021549</v>
      </c>
      <c r="D27">
        <f t="shared" si="2"/>
        <v>5.8141626785277983E-2</v>
      </c>
      <c r="E27">
        <f t="shared" si="2"/>
        <v>0.82691380310046658</v>
      </c>
      <c r="F27">
        <f t="shared" si="2"/>
        <v>0.6770979805804993</v>
      </c>
      <c r="G27">
        <f t="shared" si="2"/>
        <v>9.6157054736178832E-2</v>
      </c>
      <c r="H27">
        <f t="shared" si="2"/>
        <v>2.2988055923452797</v>
      </c>
      <c r="I27">
        <f>STDEV(I7,I13)</f>
        <v>2.4454956245564241</v>
      </c>
    </row>
    <row r="28" spans="1:11">
      <c r="A28">
        <v>610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30" spans="1:11">
      <c r="A30">
        <v>190</v>
      </c>
      <c r="B30">
        <f>B23/2</f>
        <v>4.9925366984931907</v>
      </c>
      <c r="C30">
        <f t="shared" ref="C30:I30" si="3">C23/2</f>
        <v>3.5500240780317447</v>
      </c>
      <c r="D30">
        <f t="shared" si="3"/>
        <v>0.81374134306280466</v>
      </c>
      <c r="E30">
        <f t="shared" si="3"/>
        <v>0.40943261807481091</v>
      </c>
      <c r="F30">
        <f t="shared" si="3"/>
        <v>1.2537958956377659</v>
      </c>
      <c r="G30">
        <f t="shared" si="3"/>
        <v>4.5600624229759183E-2</v>
      </c>
      <c r="H30">
        <f t="shared" si="3"/>
        <v>0.4760302910651571</v>
      </c>
      <c r="I30">
        <f t="shared" si="3"/>
        <v>1.1958769275533045</v>
      </c>
      <c r="K30" t="s">
        <v>10</v>
      </c>
    </row>
    <row r="31" spans="1:11">
      <c r="A31">
        <v>250</v>
      </c>
      <c r="B31">
        <f t="shared" ref="B31:I35" si="4">B24/2</f>
        <v>7.7541316479258713</v>
      </c>
      <c r="C31">
        <f t="shared" si="4"/>
        <v>6.1030044931565772</v>
      </c>
      <c r="D31">
        <f t="shared" si="4"/>
        <v>0.43848604782584061</v>
      </c>
      <c r="E31">
        <f t="shared" si="4"/>
        <v>0.21726390886796235</v>
      </c>
      <c r="F31">
        <f t="shared" si="4"/>
        <v>1.7431287529722237</v>
      </c>
      <c r="G31">
        <f t="shared" si="4"/>
        <v>0.10239909287849366</v>
      </c>
      <c r="H31">
        <f t="shared" si="4"/>
        <v>0.62692583084749254</v>
      </c>
      <c r="I31">
        <f t="shared" si="4"/>
        <v>0.50405299415465032</v>
      </c>
    </row>
    <row r="32" spans="1:11">
      <c r="A32">
        <v>310</v>
      </c>
      <c r="B32">
        <f t="shared" si="4"/>
        <v>4.390946788405059</v>
      </c>
      <c r="C32">
        <f t="shared" si="4"/>
        <v>4.343332687156428</v>
      </c>
      <c r="D32">
        <f t="shared" si="4"/>
        <v>0.1397027678928883</v>
      </c>
      <c r="E32">
        <f t="shared" si="4"/>
        <v>1.9562957061442576</v>
      </c>
      <c r="F32">
        <f t="shared" si="4"/>
        <v>0.68854185612298102</v>
      </c>
      <c r="G32">
        <f t="shared" si="4"/>
        <v>4.3717310890667029E-2</v>
      </c>
      <c r="H32">
        <f t="shared" si="4"/>
        <v>1.6366237817859557</v>
      </c>
      <c r="I32">
        <f t="shared" si="4"/>
        <v>1.1291456624228069E-2</v>
      </c>
    </row>
    <row r="33" spans="1:9">
      <c r="A33">
        <v>340</v>
      </c>
      <c r="B33">
        <f t="shared" si="4"/>
        <v>7.0157075458584792</v>
      </c>
      <c r="C33">
        <f t="shared" si="4"/>
        <v>6.8947256970081918</v>
      </c>
      <c r="D33">
        <f t="shared" si="4"/>
        <v>1.308220232141909</v>
      </c>
      <c r="E33">
        <f t="shared" si="4"/>
        <v>0.33601924414387024</v>
      </c>
      <c r="F33">
        <f t="shared" si="4"/>
        <v>0.37978715660378681</v>
      </c>
      <c r="G33">
        <f t="shared" si="4"/>
        <v>0.10441774948370744</v>
      </c>
      <c r="H33">
        <f t="shared" si="4"/>
        <v>13.607621931097796</v>
      </c>
      <c r="I33">
        <f t="shared" si="4"/>
        <v>11.426685321284371</v>
      </c>
    </row>
    <row r="34" spans="1:9">
      <c r="A34">
        <v>370</v>
      </c>
      <c r="B34">
        <f t="shared" si="4"/>
        <v>1.3267465247027201</v>
      </c>
      <c r="C34">
        <f t="shared" si="4"/>
        <v>1.4763891334010775</v>
      </c>
      <c r="D34">
        <f t="shared" si="4"/>
        <v>2.9070813392638992E-2</v>
      </c>
      <c r="E34">
        <f t="shared" si="4"/>
        <v>0.41345690155023329</v>
      </c>
      <c r="F34">
        <f t="shared" si="4"/>
        <v>0.33854899029024965</v>
      </c>
      <c r="G34">
        <f t="shared" si="4"/>
        <v>4.8078527368089416E-2</v>
      </c>
      <c r="H34">
        <f t="shared" si="4"/>
        <v>1.1494027961726399</v>
      </c>
      <c r="I34">
        <f t="shared" si="4"/>
        <v>1.2227478122782121</v>
      </c>
    </row>
    <row r="35" spans="1:9">
      <c r="A35">
        <v>610</v>
      </c>
      <c r="B35">
        <f t="shared" si="4"/>
        <v>0</v>
      </c>
      <c r="C35">
        <f t="shared" si="4"/>
        <v>0</v>
      </c>
      <c r="D35">
        <f t="shared" si="4"/>
        <v>0</v>
      </c>
      <c r="E35">
        <f t="shared" si="4"/>
        <v>0</v>
      </c>
      <c r="F35">
        <f t="shared" si="4"/>
        <v>0</v>
      </c>
      <c r="G35">
        <f t="shared" si="4"/>
        <v>0</v>
      </c>
      <c r="H35">
        <f t="shared" si="4"/>
        <v>0</v>
      </c>
      <c r="I35">
        <f t="shared" si="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7B74-CDFD-7F4C-8CE0-F6E0CC9ECB8C}">
  <dimension ref="A1:K12"/>
  <sheetViews>
    <sheetView workbookViewId="0">
      <selection activeCell="K16" sqref="K16"/>
    </sheetView>
  </sheetViews>
  <sheetFormatPr baseColWidth="10" defaultRowHeight="16"/>
  <sheetData>
    <row r="1" spans="1:11">
      <c r="A1" t="s">
        <v>9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</row>
    <row r="3" spans="1:11">
      <c r="A3">
        <v>190</v>
      </c>
      <c r="B3" s="1">
        <v>0.62416993295732659</v>
      </c>
      <c r="C3" s="1">
        <v>234.31967943574364</v>
      </c>
      <c r="D3">
        <v>4721.0657549199568</v>
      </c>
      <c r="E3">
        <v>22.674790684597827</v>
      </c>
      <c r="F3">
        <v>17.646271899555558</v>
      </c>
      <c r="G3">
        <v>0.92909159256553298</v>
      </c>
      <c r="H3">
        <v>-0.91921264398607672</v>
      </c>
      <c r="I3">
        <v>2.4946839846407234</v>
      </c>
      <c r="K3" s="3">
        <v>45117</v>
      </c>
    </row>
    <row r="4" spans="1:11">
      <c r="A4">
        <v>250</v>
      </c>
      <c r="B4">
        <v>-0.93565550449355417</v>
      </c>
      <c r="C4">
        <v>239.31625292119992</v>
      </c>
      <c r="D4">
        <v>4854.1407087007237</v>
      </c>
      <c r="E4">
        <v>22.66027417327858</v>
      </c>
      <c r="F4">
        <v>18.596882379722416</v>
      </c>
      <c r="G4">
        <v>0.50645279105858887</v>
      </c>
      <c r="H4">
        <v>2.0042708936273064</v>
      </c>
      <c r="I4">
        <v>0.35615526797364172</v>
      </c>
    </row>
    <row r="5" spans="1:11">
      <c r="A5">
        <v>310</v>
      </c>
      <c r="B5">
        <v>-2.1845947653498112</v>
      </c>
      <c r="C5">
        <v>241.88954596336333</v>
      </c>
      <c r="D5">
        <v>4491.2143005735697</v>
      </c>
      <c r="E5">
        <v>22.660274173276065</v>
      </c>
      <c r="F5">
        <v>29.408967047037855</v>
      </c>
      <c r="G5">
        <v>2.6278944072858179</v>
      </c>
      <c r="H5">
        <v>258.96727124669053</v>
      </c>
      <c r="I5">
        <v>87.970351189499141</v>
      </c>
    </row>
    <row r="6" spans="1:11">
      <c r="A6">
        <v>340</v>
      </c>
      <c r="B6">
        <v>1.3850483789414998E-13</v>
      </c>
      <c r="C6">
        <v>243.07448064543064</v>
      </c>
      <c r="D6">
        <v>4630.2760288638065</v>
      </c>
      <c r="E6">
        <v>22.674790684595308</v>
      </c>
      <c r="F6">
        <v>37.929595789289387</v>
      </c>
      <c r="G6">
        <v>3.681078387668653</v>
      </c>
      <c r="H6">
        <v>187.39932855414787</v>
      </c>
      <c r="I6">
        <v>173.55872864572149</v>
      </c>
    </row>
    <row r="7" spans="1:11">
      <c r="A7">
        <v>370</v>
      </c>
      <c r="B7">
        <v>-1.248339865914099</v>
      </c>
      <c r="C7">
        <v>252.85925846802206</v>
      </c>
      <c r="D7">
        <v>4645.4076498731602</v>
      </c>
      <c r="E7">
        <v>30.233054246132117</v>
      </c>
      <c r="F7">
        <v>44.377904892100062</v>
      </c>
      <c r="G7">
        <v>3.6826924130706034</v>
      </c>
      <c r="H7">
        <v>136.54486002487653</v>
      </c>
      <c r="I7">
        <v>223.45240833853657</v>
      </c>
    </row>
    <row r="12" spans="1:11">
      <c r="B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8EEC-FB09-114E-8977-C1D54E0DF582}">
  <dimension ref="A1:L10"/>
  <sheetViews>
    <sheetView workbookViewId="0">
      <selection activeCell="F15" sqref="F15"/>
    </sheetView>
  </sheetViews>
  <sheetFormatPr baseColWidth="10" defaultRowHeight="16"/>
  <sheetData>
    <row r="1" spans="1:12">
      <c r="A1" t="s">
        <v>9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</row>
    <row r="3" spans="1:12">
      <c r="A3">
        <v>190</v>
      </c>
      <c r="B3">
        <v>-2.1845947653498112</v>
      </c>
      <c r="C3">
        <v>236.89462096800432</v>
      </c>
      <c r="D3">
        <v>4668.1050813872016</v>
      </c>
      <c r="E3">
        <v>22.674790684597827</v>
      </c>
      <c r="F3">
        <v>20.319949460094428</v>
      </c>
      <c r="G3">
        <v>-0.12669430807723961</v>
      </c>
      <c r="H3" s="2">
        <v>0.75208307235235849</v>
      </c>
      <c r="I3">
        <v>1.781917131886239</v>
      </c>
      <c r="J3" s="2"/>
      <c r="K3" s="6">
        <v>45117</v>
      </c>
      <c r="L3" s="2"/>
    </row>
    <row r="4" spans="1:12">
      <c r="A4">
        <v>250</v>
      </c>
      <c r="B4">
        <v>-0.93625489943557416</v>
      </c>
      <c r="C4">
        <v>234.83466774219568</v>
      </c>
      <c r="D4">
        <v>4660.5392708825202</v>
      </c>
      <c r="E4">
        <v>22.674790684597827</v>
      </c>
      <c r="F4">
        <v>21.175526279466727</v>
      </c>
      <c r="G4">
        <v>0.50677723230839578</v>
      </c>
      <c r="H4" s="2">
        <v>0.334259143267854</v>
      </c>
      <c r="I4">
        <v>0.35638342637721221</v>
      </c>
    </row>
    <row r="5" spans="1:12">
      <c r="A5">
        <v>310</v>
      </c>
      <c r="B5">
        <v>-1.2475406726580722</v>
      </c>
      <c r="C5">
        <v>236.7429598790365</v>
      </c>
      <c r="D5">
        <v>4665.1165378011638</v>
      </c>
      <c r="E5">
        <v>22.66027417327858</v>
      </c>
      <c r="F5">
        <v>26.392024237441085</v>
      </c>
      <c r="G5">
        <v>3.0504100361095041</v>
      </c>
      <c r="H5" s="2">
        <v>289.70065541637206</v>
      </c>
      <c r="I5">
        <v>55.204066535920511</v>
      </c>
    </row>
    <row r="6" spans="1:12">
      <c r="A6">
        <v>340</v>
      </c>
      <c r="B6">
        <v>-0.62416993295704948</v>
      </c>
      <c r="C6">
        <v>241.01452741962188</v>
      </c>
      <c r="D6">
        <v>4675.6708918918803</v>
      </c>
      <c r="E6">
        <v>28.343488355749169</v>
      </c>
      <c r="F6">
        <v>30.264608015427044</v>
      </c>
      <c r="G6">
        <v>3.2633460139882646</v>
      </c>
      <c r="H6" s="2">
        <v>252.28208838133577</v>
      </c>
      <c r="I6">
        <v>98.71820910649862</v>
      </c>
    </row>
    <row r="7" spans="1:12">
      <c r="A7">
        <v>370</v>
      </c>
      <c r="B7">
        <v>0</v>
      </c>
      <c r="C7">
        <v>247.49183748006377</v>
      </c>
      <c r="D7">
        <v>4679.1238924331028</v>
      </c>
      <c r="E7">
        <v>22.654877724614582</v>
      </c>
      <c r="F7">
        <v>35.367302875243332</v>
      </c>
      <c r="G7">
        <v>3.6820604421408634</v>
      </c>
      <c r="H7" s="2">
        <v>216.15923297891175</v>
      </c>
      <c r="I7">
        <v>142.07210998877662</v>
      </c>
    </row>
    <row r="10" spans="1:12">
      <c r="D10" s="2"/>
      <c r="E10" s="2"/>
      <c r="F10" s="2"/>
      <c r="G10" s="2"/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Anoxia_Reoxy</vt:lpstr>
      <vt:lpstr>H_P+M</vt:lpstr>
      <vt:lpstr>L_P+M</vt:lpstr>
      <vt:lpstr>H_A+M</vt:lpstr>
      <vt:lpstr>L_A+M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Collins</dc:creator>
  <cp:lastModifiedBy>Nicole Collins</cp:lastModifiedBy>
  <dcterms:created xsi:type="dcterms:W3CDTF">2023-04-11T23:19:34Z</dcterms:created>
  <dcterms:modified xsi:type="dcterms:W3CDTF">2023-08-28T18:31:48Z</dcterms:modified>
</cp:coreProperties>
</file>